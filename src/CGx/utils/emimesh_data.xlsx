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<sst xmlns="http://schemas.openxmlformats.org/spreadsheetml/2006/main" count="75" uniqueCount="23">
  <si>
    <t>fTetWild l=</t>
  </si>
  <si>
    <t>mu = 5</t>
  </si>
  <si>
    <t>use 10 instead?</t>
  </si>
  <si>
    <t>N</t>
  </si>
  <si>
    <t>ecs_share</t>
  </si>
  <si>
    <t>ecs_surface</t>
  </si>
  <si>
    <t>ecs_volume</t>
  </si>
  <si>
    <t>scaling factors area and vol</t>
  </si>
  <si>
    <t>ncompcells</t>
  </si>
  <si>
    <t>nfacets_membrane</t>
  </si>
  <si>
    <t>npoints</t>
  </si>
  <si>
    <t>npoints_boundary</t>
  </si>
  <si>
    <t>npoints_ecs</t>
  </si>
  <si>
    <t>npoints_membrane</t>
  </si>
  <si>
    <t>ntets_ecs</t>
  </si>
  <si>
    <t>ntets_ics</t>
  </si>
  <si>
    <t>points_m/points</t>
  </si>
  <si>
    <t>mu = 10</t>
  </si>
  <si>
    <t>mu = 20</t>
  </si>
  <si>
    <t>size</t>
  </si>
  <si>
    <t>diagonal</t>
  </si>
  <si>
    <t>mu = 30</t>
  </si>
  <si>
    <t>mu =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</si>
</sst>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0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</cols>
  <sheetData>
    <row r="2">
      <c r="I2" s="1" t="s">
        <v>0</v>
      </c>
      <c r="J2" s="2">
        <v>0.05</v>
      </c>
      <c r="K2" s="3">
        <v>0.015</v>
      </c>
      <c r="L2" s="4">
        <v>0.01</v>
      </c>
    </row>
    <row r="4">
      <c r="C4" s="1" t="s">
        <v>1</v>
      </c>
    </row>
    <row r="5">
      <c r="B5" s="1" t="s">
        <v>2</v>
      </c>
      <c r="C5" s="1" t="s">
        <v>3</v>
      </c>
      <c r="D5" s="1">
        <v>10.0</v>
      </c>
      <c r="E5" s="1">
        <v>25.0</v>
      </c>
      <c r="F5" s="1">
        <v>50.0</v>
      </c>
      <c r="G5" s="1">
        <v>100.0</v>
      </c>
      <c r="H5" s="1">
        <v>200.0</v>
      </c>
      <c r="I5" s="1">
        <v>300.0</v>
      </c>
      <c r="J5" s="1">
        <v>400.0</v>
      </c>
      <c r="K5" s="1">
        <v>500.0</v>
      </c>
    </row>
    <row r="6">
      <c r="C6" s="1" t="s">
        <v>4</v>
      </c>
      <c r="D6" s="2">
        <v>0.535945319279762</v>
      </c>
      <c r="E6" s="2">
        <v>0.399583792684733</v>
      </c>
      <c r="F6" s="2">
        <v>0.302399284283957</v>
      </c>
      <c r="G6" s="2">
        <v>0.244486106533641</v>
      </c>
      <c r="H6" s="2">
        <v>0.234084161759321</v>
      </c>
      <c r="I6" s="3">
        <v>0.239487366729581</v>
      </c>
      <c r="J6" s="3">
        <v>0.238989075274898</v>
      </c>
      <c r="K6" s="3">
        <v>0.239151626916505</v>
      </c>
    </row>
    <row r="7">
      <c r="C7" s="1" t="s">
        <v>5</v>
      </c>
      <c r="D7" s="5">
        <f t="shared" ref="D7:K7" si="1">$A10*M7</f>
        <v>349.9582659</v>
      </c>
      <c r="E7" s="5">
        <f t="shared" si="1"/>
        <v>508.8952413</v>
      </c>
      <c r="F7" s="5">
        <f t="shared" si="1"/>
        <v>657.3542358</v>
      </c>
      <c r="G7" s="5">
        <f t="shared" si="1"/>
        <v>791.6471685</v>
      </c>
      <c r="H7" s="5">
        <f t="shared" si="1"/>
        <v>909.4274769</v>
      </c>
      <c r="I7" s="6">
        <f t="shared" si="1"/>
        <v>933.5149363</v>
      </c>
      <c r="J7" s="6">
        <f t="shared" si="1"/>
        <v>932.4275579</v>
      </c>
      <c r="K7" s="6">
        <f t="shared" si="1"/>
        <v>932.9173547</v>
      </c>
      <c r="M7" s="1">
        <v>3.49958265915938E8</v>
      </c>
      <c r="N7" s="1">
        <v>5.08895241296758E8</v>
      </c>
      <c r="O7" s="1">
        <v>6.57354235829593E8</v>
      </c>
      <c r="P7" s="1">
        <v>7.9164716850151E8</v>
      </c>
      <c r="Q7" s="1">
        <v>9.09427476876473E8</v>
      </c>
      <c r="R7" s="1">
        <v>9.33514936302105E8</v>
      </c>
      <c r="S7" s="1">
        <v>9.32427557929553E8</v>
      </c>
      <c r="T7" s="1">
        <v>9.32917354655538E8</v>
      </c>
    </row>
    <row r="8">
      <c r="C8" s="1" t="s">
        <v>6</v>
      </c>
      <c r="D8" s="5">
        <f t="shared" ref="D8:K8" si="2">$A11*M8</f>
        <v>58.46713527</v>
      </c>
      <c r="E8" s="5">
        <f t="shared" si="2"/>
        <v>43.58379906</v>
      </c>
      <c r="F8" s="5">
        <f t="shared" si="2"/>
        <v>32.98562164</v>
      </c>
      <c r="G8" s="5">
        <f t="shared" si="2"/>
        <v>26.67037246</v>
      </c>
      <c r="H8" s="5">
        <f t="shared" si="2"/>
        <v>25.53855182</v>
      </c>
      <c r="I8" s="6">
        <f t="shared" si="2"/>
        <v>26.1289766</v>
      </c>
      <c r="J8" s="6">
        <f t="shared" si="2"/>
        <v>26.07440404</v>
      </c>
      <c r="K8" s="6">
        <f t="shared" si="2"/>
        <v>26.09168313</v>
      </c>
      <c r="M8" s="1">
        <v>5.84671352708363E10</v>
      </c>
      <c r="N8" s="1">
        <v>4.35837990550849E10</v>
      </c>
      <c r="O8" s="1">
        <v>3.29856216442301E10</v>
      </c>
      <c r="P8" s="1">
        <v>2.66703724611443E10</v>
      </c>
      <c r="Q8" s="1">
        <v>2.55385518247849E10</v>
      </c>
      <c r="R8" s="1">
        <v>2.6128976597729E10</v>
      </c>
      <c r="S8" s="1">
        <v>2.60744040420192E10</v>
      </c>
      <c r="T8" s="1">
        <v>2.60916831276189E10</v>
      </c>
    </row>
    <row r="9">
      <c r="A9" s="1" t="s">
        <v>7</v>
      </c>
      <c r="C9" s="1" t="s">
        <v>8</v>
      </c>
      <c r="D9" s="2">
        <v>280176.0</v>
      </c>
      <c r="E9" s="2">
        <v>265703.0</v>
      </c>
      <c r="F9" s="2">
        <v>388182.0</v>
      </c>
      <c r="G9" s="2">
        <v>516558.0</v>
      </c>
      <c r="H9" s="2">
        <v>895607.0</v>
      </c>
      <c r="I9" s="3">
        <v>1179006.0</v>
      </c>
      <c r="J9" s="3">
        <v>1183674.0</v>
      </c>
      <c r="K9" s="3">
        <v>1178700.0</v>
      </c>
    </row>
    <row r="10">
      <c r="A10" s="7">
        <f>0.000001</f>
        <v>0.000001</v>
      </c>
      <c r="C10" s="1" t="s">
        <v>9</v>
      </c>
      <c r="D10" s="2">
        <v>58549.0</v>
      </c>
      <c r="E10" s="2">
        <v>84803.0</v>
      </c>
      <c r="F10" s="2">
        <v>126005.0</v>
      </c>
      <c r="G10" s="2">
        <v>169353.0</v>
      </c>
      <c r="H10" s="2">
        <v>273300.0</v>
      </c>
      <c r="I10" s="3">
        <v>306443.0</v>
      </c>
      <c r="J10" s="3">
        <v>306973.0</v>
      </c>
      <c r="K10" s="3">
        <v>306393.0</v>
      </c>
    </row>
    <row r="11">
      <c r="A11" s="1">
        <f>0.000000001</f>
        <v>0.000000001</v>
      </c>
      <c r="C11" s="1" t="s">
        <v>10</v>
      </c>
      <c r="D11" s="2">
        <v>50924.0</v>
      </c>
      <c r="E11" s="2">
        <v>47575.0</v>
      </c>
      <c r="F11" s="2">
        <v>68695.0</v>
      </c>
      <c r="G11" s="2">
        <v>90664.0</v>
      </c>
      <c r="H11" s="2">
        <v>157665.0</v>
      </c>
      <c r="I11" s="3">
        <v>207550.0</v>
      </c>
      <c r="J11" s="3">
        <v>208453.0</v>
      </c>
      <c r="K11" s="3">
        <v>207644.0</v>
      </c>
    </row>
    <row r="12">
      <c r="C12" s="1" t="s">
        <v>11</v>
      </c>
      <c r="D12" s="2">
        <v>5605.0</v>
      </c>
      <c r="E12" s="2">
        <v>4020.0</v>
      </c>
      <c r="F12" s="2">
        <v>5544.0</v>
      </c>
      <c r="G12" s="2">
        <v>7122.0</v>
      </c>
      <c r="H12" s="2">
        <v>13166.0</v>
      </c>
      <c r="I12" s="3">
        <v>17241.0</v>
      </c>
      <c r="J12" s="3">
        <v>17455.0</v>
      </c>
      <c r="K12" s="3">
        <v>17395.0</v>
      </c>
    </row>
    <row r="13">
      <c r="C13" s="1" t="s">
        <v>12</v>
      </c>
      <c r="D13" s="2">
        <v>43287.0</v>
      </c>
      <c r="E13" s="2">
        <v>45579.0</v>
      </c>
      <c r="F13" s="2">
        <v>66234.0</v>
      </c>
      <c r="G13" s="2">
        <v>88063.0</v>
      </c>
      <c r="H13" s="2">
        <v>142391.0</v>
      </c>
      <c r="I13" s="3">
        <v>160515.0</v>
      </c>
      <c r="J13" s="3">
        <v>160900.0</v>
      </c>
      <c r="K13" s="3">
        <v>160515.0</v>
      </c>
    </row>
    <row r="14">
      <c r="C14" s="1" t="s">
        <v>13</v>
      </c>
      <c r="D14" s="2">
        <v>30017.0</v>
      </c>
      <c r="E14" s="2">
        <v>43516.0</v>
      </c>
      <c r="F14" s="2">
        <v>64762.0</v>
      </c>
      <c r="G14" s="2">
        <v>87228.0</v>
      </c>
      <c r="H14" s="2">
        <v>140557.0</v>
      </c>
      <c r="I14" s="3">
        <v>157464.0</v>
      </c>
      <c r="J14" s="3">
        <v>157782.0</v>
      </c>
      <c r="K14" s="3">
        <v>157467.0</v>
      </c>
    </row>
    <row r="15">
      <c r="C15" s="1" t="s">
        <v>14</v>
      </c>
      <c r="D15" s="2">
        <v>166352.0</v>
      </c>
      <c r="E15" s="2">
        <v>153632.0</v>
      </c>
      <c r="F15" s="2">
        <v>225920.0</v>
      </c>
      <c r="G15" s="2">
        <v>305882.0</v>
      </c>
      <c r="H15" s="2">
        <v>500095.0</v>
      </c>
      <c r="I15" s="3">
        <v>565543.0</v>
      </c>
      <c r="J15" s="3">
        <v>566567.0</v>
      </c>
      <c r="K15" s="3">
        <v>565492.0</v>
      </c>
    </row>
    <row r="16">
      <c r="C16" s="1" t="s">
        <v>15</v>
      </c>
      <c r="D16" s="2">
        <v>113824.0</v>
      </c>
      <c r="E16" s="2">
        <v>112071.0</v>
      </c>
      <c r="F16" s="2">
        <v>162262.0</v>
      </c>
      <c r="G16" s="2">
        <v>210676.0</v>
      </c>
      <c r="H16" s="2">
        <v>395512.0</v>
      </c>
      <c r="I16" s="3">
        <v>613463.0</v>
      </c>
      <c r="J16" s="3">
        <v>617107.0</v>
      </c>
      <c r="K16" s="3">
        <v>613208.0</v>
      </c>
    </row>
    <row r="17">
      <c r="C17" s="1" t="s">
        <v>16</v>
      </c>
      <c r="D17" s="5">
        <f t="shared" ref="D17:K17" si="3">D14/D11</f>
        <v>0.5894470191</v>
      </c>
      <c r="E17" s="5">
        <f t="shared" si="3"/>
        <v>0.9146820809</v>
      </c>
      <c r="F17" s="5">
        <f t="shared" si="3"/>
        <v>0.9427469248</v>
      </c>
      <c r="G17" s="5">
        <f t="shared" si="3"/>
        <v>0.9621018265</v>
      </c>
      <c r="H17" s="5">
        <f t="shared" si="3"/>
        <v>0.8914914534</v>
      </c>
      <c r="I17" s="6">
        <f t="shared" si="3"/>
        <v>0.7586798362</v>
      </c>
      <c r="J17" s="6">
        <f t="shared" si="3"/>
        <v>0.7569188258</v>
      </c>
      <c r="K17" s="6">
        <f t="shared" si="3"/>
        <v>0.7583508312</v>
      </c>
    </row>
    <row r="19">
      <c r="C19" s="1" t="s">
        <v>17</v>
      </c>
    </row>
    <row r="20">
      <c r="C20" s="1" t="s">
        <v>3</v>
      </c>
      <c r="D20" s="1">
        <v>10.0</v>
      </c>
      <c r="E20" s="1">
        <v>25.0</v>
      </c>
      <c r="F20" s="1">
        <v>50.0</v>
      </c>
      <c r="G20" s="1">
        <v>100.0</v>
      </c>
      <c r="H20" s="1">
        <v>200.0</v>
      </c>
      <c r="I20" s="1">
        <v>300.0</v>
      </c>
      <c r="J20" s="1">
        <v>400.0</v>
      </c>
      <c r="K20" s="1">
        <v>500.0</v>
      </c>
      <c r="M20" s="1">
        <v>1.37192683497458E9</v>
      </c>
      <c r="N20" s="1">
        <v>2.16891582199607E9</v>
      </c>
      <c r="O20" s="1">
        <v>2.8523916359418E9</v>
      </c>
      <c r="P20" s="1">
        <v>3.67243863780408E9</v>
      </c>
      <c r="Q20" s="1">
        <v>4.67075851087911E9</v>
      </c>
      <c r="R20" s="1">
        <v>5.28820543403062E9</v>
      </c>
      <c r="S20" s="1">
        <v>5.62749437964345E9</v>
      </c>
      <c r="T20" s="1">
        <v>5.88813131766151E9</v>
      </c>
    </row>
    <row r="21">
      <c r="C21" s="1" t="s">
        <v>4</v>
      </c>
      <c r="D21" s="2">
        <v>0.478135568853212</v>
      </c>
      <c r="E21" s="2">
        <v>0.394584594297263</v>
      </c>
      <c r="F21" s="2">
        <v>0.32581163730684</v>
      </c>
      <c r="G21" s="2">
        <v>0.261907152093017</v>
      </c>
      <c r="H21" s="2">
        <v>0.207711449146433</v>
      </c>
      <c r="I21" s="3">
        <v>0.183886075920763</v>
      </c>
      <c r="J21" s="3">
        <v>0.175708443777567</v>
      </c>
      <c r="K21" s="3">
        <v>0.170987175507866</v>
      </c>
      <c r="M21" s="1">
        <v>4.42316743242429E11</v>
      </c>
      <c r="N21" s="1">
        <v>3.650246595101E11</v>
      </c>
      <c r="O21" s="1">
        <v>3.01401919819197E11</v>
      </c>
      <c r="P21" s="1">
        <v>2.42283502789334E11</v>
      </c>
      <c r="Q21" s="1">
        <v>1.92148738506918E11</v>
      </c>
      <c r="R21" s="1">
        <v>1.70111122581048E11</v>
      </c>
      <c r="S21" s="1">
        <v>1.62549729964491E11</v>
      </c>
      <c r="T21" s="1">
        <v>1.58180952737233E11</v>
      </c>
    </row>
    <row r="22">
      <c r="C22" s="1" t="s">
        <v>5</v>
      </c>
      <c r="D22" s="5">
        <f t="shared" ref="D22:K22" si="4">$A10*M20</f>
        <v>1371.926835</v>
      </c>
      <c r="E22" s="5">
        <f t="shared" si="4"/>
        <v>2168.915822</v>
      </c>
      <c r="F22" s="5">
        <f t="shared" si="4"/>
        <v>2852.391636</v>
      </c>
      <c r="G22" s="5">
        <f t="shared" si="4"/>
        <v>3672.438638</v>
      </c>
      <c r="H22" s="5">
        <f t="shared" si="4"/>
        <v>4670.758511</v>
      </c>
      <c r="I22" s="6">
        <f t="shared" si="4"/>
        <v>5288.205434</v>
      </c>
      <c r="J22" s="6">
        <f t="shared" si="4"/>
        <v>5627.49438</v>
      </c>
      <c r="K22" s="6">
        <f t="shared" si="4"/>
        <v>5888.131318</v>
      </c>
    </row>
    <row r="23">
      <c r="C23" s="1" t="s">
        <v>6</v>
      </c>
      <c r="D23" s="5">
        <f t="shared" ref="D23:K23" si="5">$A11*M21</f>
        <v>442.3167432</v>
      </c>
      <c r="E23" s="5">
        <f t="shared" si="5"/>
        <v>365.0246595</v>
      </c>
      <c r="F23" s="5">
        <f t="shared" si="5"/>
        <v>301.4019198</v>
      </c>
      <c r="G23" s="5">
        <f t="shared" si="5"/>
        <v>242.2835028</v>
      </c>
      <c r="H23" s="5">
        <f t="shared" si="5"/>
        <v>192.1487385</v>
      </c>
      <c r="I23" s="6">
        <f t="shared" si="5"/>
        <v>170.1111226</v>
      </c>
      <c r="J23" s="6">
        <f t="shared" si="5"/>
        <v>162.54973</v>
      </c>
      <c r="K23" s="6">
        <f t="shared" si="5"/>
        <v>158.1809527</v>
      </c>
    </row>
    <row r="24">
      <c r="C24" s="1" t="s">
        <v>8</v>
      </c>
      <c r="D24" s="2">
        <v>1365061.0</v>
      </c>
      <c r="E24" s="2">
        <v>2110264.0</v>
      </c>
      <c r="F24" s="2">
        <v>2688321.0</v>
      </c>
      <c r="G24" s="2">
        <v>3447796.0</v>
      </c>
      <c r="H24" s="2">
        <v>4489915.0</v>
      </c>
      <c r="I24" s="3">
        <v>6693005.0</v>
      </c>
      <c r="J24" s="3">
        <v>5625770.0</v>
      </c>
      <c r="K24" s="3">
        <v>8061336.0</v>
      </c>
    </row>
    <row r="25">
      <c r="C25" s="1" t="s">
        <v>9</v>
      </c>
      <c r="D25" s="2">
        <v>224507.0</v>
      </c>
      <c r="E25" s="2">
        <v>439938.0</v>
      </c>
      <c r="F25" s="2">
        <v>640287.0</v>
      </c>
      <c r="G25" s="2">
        <v>918467.0</v>
      </c>
      <c r="H25" s="2">
        <v>1309151.0</v>
      </c>
      <c r="I25" s="3">
        <v>2126566.0</v>
      </c>
      <c r="J25" s="3">
        <v>1744470.0</v>
      </c>
      <c r="K25" s="3">
        <v>2559698.0</v>
      </c>
    </row>
    <row r="26">
      <c r="C26" s="1" t="s">
        <v>10</v>
      </c>
      <c r="D26" s="2">
        <v>243363.0</v>
      </c>
      <c r="E26" s="2">
        <v>372527.0</v>
      </c>
      <c r="F26" s="2">
        <v>471654.0</v>
      </c>
      <c r="G26" s="2">
        <v>601710.0</v>
      </c>
      <c r="H26" s="2">
        <v>778073.0</v>
      </c>
      <c r="I26" s="3">
        <v>1158188.0</v>
      </c>
      <c r="J26" s="3">
        <v>968230.0</v>
      </c>
      <c r="K26" s="3">
        <v>1389747.0</v>
      </c>
    </row>
    <row r="27">
      <c r="C27" s="1" t="s">
        <v>11</v>
      </c>
      <c r="D27" s="2">
        <v>15690.0</v>
      </c>
      <c r="E27" s="2">
        <v>20581.0</v>
      </c>
      <c r="F27" s="2">
        <v>23818.0</v>
      </c>
      <c r="G27" s="2">
        <v>28559.0</v>
      </c>
      <c r="H27" s="2">
        <v>33065.0</v>
      </c>
      <c r="I27" s="3">
        <v>40109.0</v>
      </c>
      <c r="J27" s="3">
        <v>37811.0</v>
      </c>
      <c r="K27" s="3">
        <v>45961.0</v>
      </c>
    </row>
    <row r="28">
      <c r="C28" s="1" t="s">
        <v>12</v>
      </c>
      <c r="D28" s="2">
        <v>202669.0</v>
      </c>
      <c r="E28" s="2">
        <v>314361.0</v>
      </c>
      <c r="F28" s="2">
        <v>400453.0</v>
      </c>
      <c r="G28" s="2">
        <v>518100.0</v>
      </c>
      <c r="H28" s="2">
        <v>688996.0</v>
      </c>
      <c r="I28" s="3">
        <v>1082979.0</v>
      </c>
      <c r="J28" s="3">
        <v>888781.0</v>
      </c>
      <c r="K28" s="3">
        <v>1299360.0</v>
      </c>
    </row>
    <row r="29">
      <c r="C29" s="1" t="s">
        <v>13</v>
      </c>
      <c r="D29" s="2">
        <v>113924.0</v>
      </c>
      <c r="E29" s="2">
        <v>222825.0</v>
      </c>
      <c r="F29" s="2">
        <v>324058.0</v>
      </c>
      <c r="G29" s="2">
        <v>464856.0</v>
      </c>
      <c r="H29" s="2">
        <v>662057.0</v>
      </c>
      <c r="I29" s="3">
        <v>1073278.0</v>
      </c>
      <c r="J29" s="3">
        <v>881889.0</v>
      </c>
      <c r="K29" s="3">
        <v>1292304.0</v>
      </c>
    </row>
    <row r="30">
      <c r="C30" s="1" t="s">
        <v>14</v>
      </c>
      <c r="D30" s="2">
        <v>854556.0</v>
      </c>
      <c r="E30" s="2">
        <v>1237090.0</v>
      </c>
      <c r="F30" s="2">
        <v>1498338.0</v>
      </c>
      <c r="G30" s="2">
        <v>1857785.0</v>
      </c>
      <c r="H30" s="2">
        <v>2420701.0</v>
      </c>
      <c r="I30" s="3">
        <v>3732666.0</v>
      </c>
      <c r="J30" s="3">
        <v>3147440.0</v>
      </c>
      <c r="K30" s="3">
        <v>4538259.0</v>
      </c>
    </row>
    <row r="31">
      <c r="C31" s="1" t="s">
        <v>15</v>
      </c>
      <c r="D31" s="2">
        <v>510505.0</v>
      </c>
      <c r="E31" s="2">
        <v>873174.0</v>
      </c>
      <c r="F31" s="2">
        <v>1189983.0</v>
      </c>
      <c r="G31" s="2">
        <v>1590011.0</v>
      </c>
      <c r="H31" s="2">
        <v>2069214.0</v>
      </c>
      <c r="I31" s="3">
        <v>2960339.0</v>
      </c>
      <c r="J31" s="3">
        <v>2478330.0</v>
      </c>
      <c r="K31" s="3">
        <v>3523077.0</v>
      </c>
    </row>
    <row r="32">
      <c r="C32" s="1" t="s">
        <v>16</v>
      </c>
      <c r="D32" s="5">
        <f t="shared" ref="D32:K32" si="6">D29/D26</f>
        <v>0.4681237493</v>
      </c>
      <c r="E32" s="5">
        <f t="shared" si="6"/>
        <v>0.598144564</v>
      </c>
      <c r="F32" s="5">
        <f t="shared" si="6"/>
        <v>0.6870672145</v>
      </c>
      <c r="G32" s="5">
        <f t="shared" si="6"/>
        <v>0.7725582091</v>
      </c>
      <c r="H32" s="5">
        <f t="shared" si="6"/>
        <v>0.8508931681</v>
      </c>
      <c r="I32" s="6">
        <f t="shared" si="6"/>
        <v>0.9266872045</v>
      </c>
      <c r="J32" s="6">
        <f t="shared" si="6"/>
        <v>0.9108259401</v>
      </c>
      <c r="K32" s="6">
        <f t="shared" si="6"/>
        <v>0.9298843602</v>
      </c>
    </row>
    <row r="34">
      <c r="C34" s="1" t="s">
        <v>18</v>
      </c>
    </row>
    <row r="35">
      <c r="C35" s="1" t="s">
        <v>3</v>
      </c>
      <c r="D35" s="1">
        <v>10.0</v>
      </c>
      <c r="E35" s="1">
        <v>25.0</v>
      </c>
      <c r="F35" s="1">
        <v>50.0</v>
      </c>
      <c r="G35" s="1">
        <v>100.0</v>
      </c>
      <c r="H35" s="1">
        <v>200.0</v>
      </c>
      <c r="I35" s="1">
        <v>300.0</v>
      </c>
      <c r="J35" s="1">
        <v>400.0</v>
      </c>
      <c r="K35" s="1">
        <v>500.0</v>
      </c>
      <c r="M35" s="1">
        <v>3.97401765544453E9</v>
      </c>
      <c r="N35" s="1">
        <v>9.80307871689198E9</v>
      </c>
      <c r="O35" s="1">
        <v>1.23206040374748E10</v>
      </c>
      <c r="P35" s="1">
        <v>1.53766702417014E10</v>
      </c>
      <c r="Q35" s="1">
        <v>2.00406857894164E10</v>
      </c>
      <c r="R35" s="1">
        <v>2.55587592747304E10</v>
      </c>
      <c r="S35" s="1">
        <v>2.93884697399325E10</v>
      </c>
      <c r="T35" s="1">
        <v>3.21904287460921E10</v>
      </c>
      <c r="U35" s="1">
        <v>3.45054881705586E10</v>
      </c>
    </row>
    <row r="36">
      <c r="C36" s="1" t="s">
        <v>4</v>
      </c>
      <c r="D36" s="2">
        <v>0.544264080964451</v>
      </c>
      <c r="E36" s="2">
        <v>0.49127755374141</v>
      </c>
      <c r="F36" s="2">
        <v>0.446008851032755</v>
      </c>
      <c r="G36" s="3">
        <v>0.388778543808998</v>
      </c>
      <c r="H36" s="3">
        <v>0.326156649060662</v>
      </c>
      <c r="I36" s="3">
        <v>0.289770233746917</v>
      </c>
      <c r="J36" s="3">
        <v>0.266387445633235</v>
      </c>
      <c r="K36" s="3">
        <v>0.249766277046685</v>
      </c>
      <c r="M36" s="1">
        <v>4.73084372996288E12</v>
      </c>
      <c r="N36" s="1">
        <v>4.14494748116272E12</v>
      </c>
      <c r="O36" s="1">
        <v>3.74145788914096E12</v>
      </c>
      <c r="P36" s="1">
        <v>3.39665037722266E12</v>
      </c>
      <c r="Q36" s="1">
        <v>2.96084546977913E12</v>
      </c>
      <c r="R36" s="1">
        <v>2.48395676045775E12</v>
      </c>
      <c r="S36" s="1">
        <v>2.20683664763781E12</v>
      </c>
      <c r="T36" s="1">
        <v>2.02874919736097E12</v>
      </c>
      <c r="U36" s="1">
        <v>1.90219260284002E12</v>
      </c>
    </row>
    <row r="37">
      <c r="C37" s="1" t="s">
        <v>5</v>
      </c>
      <c r="D37" s="5">
        <f t="shared" ref="D37:K37" si="7">$A10*N35</f>
        <v>9803.078717</v>
      </c>
      <c r="E37" s="5">
        <f t="shared" si="7"/>
        <v>12320.60404</v>
      </c>
      <c r="F37" s="5">
        <f t="shared" si="7"/>
        <v>15376.67024</v>
      </c>
      <c r="G37" s="6">
        <f t="shared" si="7"/>
        <v>20040.68579</v>
      </c>
      <c r="H37" s="6">
        <f t="shared" si="7"/>
        <v>25558.75927</v>
      </c>
      <c r="I37" s="6">
        <f t="shared" si="7"/>
        <v>29388.46974</v>
      </c>
      <c r="J37" s="6">
        <f t="shared" si="7"/>
        <v>32190.42875</v>
      </c>
      <c r="K37" s="6">
        <f t="shared" si="7"/>
        <v>34505.48817</v>
      </c>
    </row>
    <row r="38">
      <c r="C38" s="1" t="s">
        <v>6</v>
      </c>
      <c r="D38" s="5">
        <f t="shared" ref="D38:K38" si="8">$A11*N36</f>
        <v>4144.947481</v>
      </c>
      <c r="E38" s="5">
        <f t="shared" si="8"/>
        <v>3741.457889</v>
      </c>
      <c r="F38" s="5">
        <f t="shared" si="8"/>
        <v>3396.650377</v>
      </c>
      <c r="G38" s="6">
        <f t="shared" si="8"/>
        <v>2960.84547</v>
      </c>
      <c r="H38" s="6">
        <f t="shared" si="8"/>
        <v>2483.95676</v>
      </c>
      <c r="I38" s="6">
        <f t="shared" si="8"/>
        <v>2206.836648</v>
      </c>
      <c r="J38" s="6">
        <f t="shared" si="8"/>
        <v>2028.749197</v>
      </c>
      <c r="K38" s="6">
        <f t="shared" si="8"/>
        <v>1902.192603</v>
      </c>
    </row>
    <row r="39">
      <c r="C39" s="1" t="s">
        <v>8</v>
      </c>
      <c r="D39" s="2">
        <v>4478847.0</v>
      </c>
      <c r="E39" s="2">
        <v>1.2017944E7</v>
      </c>
      <c r="F39" s="2">
        <v>7687071.0</v>
      </c>
      <c r="G39" s="3">
        <v>2.0066026E7</v>
      </c>
      <c r="H39" s="3">
        <v>2.8595709E7</v>
      </c>
      <c r="I39" s="3">
        <v>2.464272E7</v>
      </c>
      <c r="J39" s="3">
        <v>2.7377773E7</v>
      </c>
      <c r="K39" s="3">
        <v>3.668095E7</v>
      </c>
    </row>
    <row r="40">
      <c r="C40" s="1" t="s">
        <v>9</v>
      </c>
      <c r="D40" s="2">
        <v>1310962.0</v>
      </c>
      <c r="E40" s="2">
        <v>2226926.0</v>
      </c>
      <c r="F40" s="2">
        <v>2355858.0</v>
      </c>
      <c r="G40" s="3">
        <v>4434568.0</v>
      </c>
      <c r="H40" s="3">
        <v>7226482.0</v>
      </c>
      <c r="I40" s="3">
        <v>7360679.0</v>
      </c>
      <c r="J40" s="3">
        <v>8381762.0</v>
      </c>
      <c r="K40" s="3">
        <v>1.1603071E7</v>
      </c>
    </row>
    <row r="41">
      <c r="C41" s="1" t="s">
        <v>10</v>
      </c>
      <c r="D41" s="2">
        <v>807039.0</v>
      </c>
      <c r="E41" s="2">
        <v>2115525.0</v>
      </c>
      <c r="F41" s="2">
        <v>1364332.0</v>
      </c>
      <c r="G41" s="3">
        <v>3492031.0</v>
      </c>
      <c r="H41" s="3">
        <v>4965736.0</v>
      </c>
      <c r="I41" s="3">
        <v>4256075.0</v>
      </c>
      <c r="J41" s="3">
        <v>4717716.0</v>
      </c>
      <c r="K41" s="3">
        <v>6343124.0</v>
      </c>
    </row>
    <row r="42">
      <c r="C42" s="1" t="s">
        <v>11</v>
      </c>
      <c r="D42" s="2">
        <v>28750.0</v>
      </c>
      <c r="E42" s="2">
        <v>81258.0</v>
      </c>
      <c r="F42" s="2">
        <v>41715.0</v>
      </c>
      <c r="G42" s="3">
        <v>110726.0</v>
      </c>
      <c r="H42" s="3">
        <v>135631.0</v>
      </c>
      <c r="I42" s="3">
        <v>117896.0</v>
      </c>
      <c r="J42" s="3">
        <v>126003.0</v>
      </c>
      <c r="K42" s="3">
        <v>147208.0</v>
      </c>
    </row>
    <row r="43">
      <c r="C43" s="1" t="s">
        <v>12</v>
      </c>
      <c r="D43" s="2">
        <v>773374.0</v>
      </c>
      <c r="E43" s="2">
        <v>1828925.0</v>
      </c>
      <c r="F43" s="2">
        <v>1309620.0</v>
      </c>
      <c r="G43" s="3">
        <v>2977993.0</v>
      </c>
      <c r="H43" s="3">
        <v>4302147.0</v>
      </c>
      <c r="I43" s="3">
        <v>3951444.0</v>
      </c>
      <c r="J43" s="3">
        <v>4415191.0</v>
      </c>
      <c r="K43" s="3">
        <v>6017071.0</v>
      </c>
    </row>
    <row r="44">
      <c r="C44" s="1" t="s">
        <v>13</v>
      </c>
      <c r="D44" s="2">
        <v>659176.0</v>
      </c>
      <c r="E44" s="2">
        <v>1120882.0</v>
      </c>
      <c r="F44" s="2">
        <v>1185120.0</v>
      </c>
      <c r="G44" s="3">
        <v>2230882.0</v>
      </c>
      <c r="H44" s="3">
        <v>3634700.0</v>
      </c>
      <c r="I44" s="3">
        <v>3702725.0</v>
      </c>
      <c r="J44" s="3">
        <v>4216494.0</v>
      </c>
      <c r="K44" s="3">
        <v>5833366.0</v>
      </c>
    </row>
    <row r="45">
      <c r="C45" s="1" t="s">
        <v>14</v>
      </c>
      <c r="D45" s="2">
        <v>2644496.0</v>
      </c>
      <c r="E45" s="2">
        <v>7541846.0</v>
      </c>
      <c r="F45" s="2">
        <v>4468121.0</v>
      </c>
      <c r="G45" s="3">
        <v>1.1556737E7</v>
      </c>
      <c r="H45" s="3">
        <v>1.5791518E7</v>
      </c>
      <c r="I45" s="3">
        <v>1.3875588E7</v>
      </c>
      <c r="J45" s="3">
        <v>1.5433154E7</v>
      </c>
      <c r="K45" s="3">
        <v>2.0677351E7</v>
      </c>
    </row>
    <row r="46">
      <c r="C46" s="1" t="s">
        <v>15</v>
      </c>
      <c r="D46" s="2">
        <v>1834351.0</v>
      </c>
      <c r="E46" s="2">
        <v>4476098.0</v>
      </c>
      <c r="F46" s="2">
        <v>3218950.0</v>
      </c>
      <c r="G46" s="3">
        <v>8509289.0</v>
      </c>
      <c r="H46" s="3">
        <v>1.2804191E7</v>
      </c>
      <c r="I46" s="3">
        <v>1.0767132E7</v>
      </c>
      <c r="J46" s="3">
        <v>1.1944619E7</v>
      </c>
      <c r="K46" s="3">
        <v>1.6003599E7</v>
      </c>
      <c r="R46" s="1" t="s">
        <v>19</v>
      </c>
      <c r="S46" s="1">
        <v>5000.0</v>
      </c>
      <c r="T46" s="1">
        <v>10000.0</v>
      </c>
      <c r="U46" s="1">
        <v>20000.0</v>
      </c>
      <c r="V46" s="1">
        <v>30000.0</v>
      </c>
      <c r="W46" s="1">
        <v>40000.0</v>
      </c>
    </row>
    <row r="47">
      <c r="C47" s="1" t="s">
        <v>16</v>
      </c>
      <c r="D47" s="5">
        <f t="shared" ref="D47:K47" si="9">D44/D41</f>
        <v>0.8167833277</v>
      </c>
      <c r="E47" s="5">
        <f t="shared" si="9"/>
        <v>0.529836329</v>
      </c>
      <c r="F47" s="5">
        <f t="shared" si="9"/>
        <v>0.8686448753</v>
      </c>
      <c r="G47" s="6">
        <f t="shared" si="9"/>
        <v>0.638849426</v>
      </c>
      <c r="H47" s="6">
        <f t="shared" si="9"/>
        <v>0.7319559477</v>
      </c>
      <c r="I47" s="6">
        <f t="shared" si="9"/>
        <v>0.8699858438</v>
      </c>
      <c r="J47" s="6">
        <f t="shared" si="9"/>
        <v>0.8937574877</v>
      </c>
      <c r="K47" s="6">
        <f t="shared" si="9"/>
        <v>0.9196361288</v>
      </c>
      <c r="R47" s="1" t="s">
        <v>20</v>
      </c>
      <c r="S47" s="1">
        <v>8276.76</v>
      </c>
      <c r="T47" s="1">
        <v>16876.99</v>
      </c>
      <c r="U47" s="1">
        <v>34077.52447</v>
      </c>
      <c r="W47" s="1">
        <v>68501.48853</v>
      </c>
    </row>
    <row r="49">
      <c r="C49" s="1" t="s">
        <v>21</v>
      </c>
    </row>
    <row r="50">
      <c r="C50" s="1" t="s">
        <v>3</v>
      </c>
      <c r="D50" s="1">
        <v>10.0</v>
      </c>
      <c r="E50" s="1">
        <v>25.0</v>
      </c>
      <c r="F50" s="1">
        <v>50.0</v>
      </c>
      <c r="G50" s="1">
        <v>100.0</v>
      </c>
      <c r="H50" s="1">
        <v>200.0</v>
      </c>
      <c r="I50" s="1">
        <v>300.0</v>
      </c>
      <c r="J50" s="1">
        <v>400.0</v>
      </c>
      <c r="K50" s="1">
        <v>500.0</v>
      </c>
    </row>
    <row r="51">
      <c r="C51" s="1" t="s">
        <v>4</v>
      </c>
      <c r="D51" s="8"/>
      <c r="E51" s="8"/>
      <c r="F51" s="8"/>
      <c r="G51" s="4">
        <v>0.505725118727963</v>
      </c>
      <c r="H51" s="4">
        <v>0.437969905003667</v>
      </c>
      <c r="I51" s="4">
        <v>0.394504088126458</v>
      </c>
      <c r="J51" s="4">
        <v>0.365053740306834</v>
      </c>
      <c r="K51" s="4">
        <v>0.344199297149478</v>
      </c>
    </row>
    <row r="52">
      <c r="C52" s="1" t="s">
        <v>5</v>
      </c>
      <c r="D52" s="9"/>
      <c r="E52" s="9"/>
      <c r="F52" s="9"/>
      <c r="G52" s="4">
        <f t="shared" ref="G52:G53" si="10">M52*A10</f>
        <v>58694.26217</v>
      </c>
      <c r="H52" s="4">
        <f t="shared" ref="H52:H53" si="11">N52*A10</f>
        <v>75969.95116</v>
      </c>
      <c r="I52" s="4">
        <f t="shared" ref="I52:I53" si="12">O52*A10</f>
        <v>88413.81212</v>
      </c>
      <c r="J52" s="4">
        <f t="shared" ref="J52:J53" si="13">P52*A10</f>
        <v>98002.06435</v>
      </c>
      <c r="K52" s="4">
        <f t="shared" ref="K52:K53" si="14">Q52*A10</f>
        <v>105507.4513</v>
      </c>
      <c r="M52" s="8">
        <v>5.86942621672762E10</v>
      </c>
      <c r="N52" s="8">
        <v>7.59699511583689E10</v>
      </c>
      <c r="O52" s="8">
        <v>8.84138121223069E10</v>
      </c>
      <c r="P52" s="8">
        <v>9.80020643542304E10</v>
      </c>
      <c r="Q52" s="8">
        <v>1.05507451264282E11</v>
      </c>
    </row>
    <row r="53">
      <c r="C53" s="1" t="s">
        <v>6</v>
      </c>
      <c r="D53" s="9"/>
      <c r="E53" s="9"/>
      <c r="F53" s="9"/>
      <c r="G53" s="4">
        <f t="shared" si="10"/>
        <v>13105.16393</v>
      </c>
      <c r="H53" s="4">
        <f t="shared" si="11"/>
        <v>11349.39516</v>
      </c>
      <c r="I53" s="4">
        <f t="shared" si="12"/>
        <v>10223.1316</v>
      </c>
      <c r="J53" s="4">
        <f t="shared" si="13"/>
        <v>9459.959144</v>
      </c>
      <c r="K53" s="4">
        <f t="shared" si="14"/>
        <v>8919.443517</v>
      </c>
      <c r="M53" s="8">
        <v>1.31051639257137E13</v>
      </c>
      <c r="N53" s="8">
        <v>1.13493951602047E13</v>
      </c>
      <c r="O53" s="8">
        <v>1.02231316029219E13</v>
      </c>
      <c r="P53" s="8">
        <v>9.45995914426784E12</v>
      </c>
      <c r="Q53" s="8">
        <v>8.91944351667353E12</v>
      </c>
    </row>
    <row r="54">
      <c r="C54" s="1" t="s">
        <v>8</v>
      </c>
      <c r="D54" s="8"/>
      <c r="E54" s="8"/>
      <c r="F54" s="8"/>
      <c r="G54" s="4">
        <v>4.7266992E7</v>
      </c>
      <c r="H54" s="4">
        <v>6.4590223E7</v>
      </c>
      <c r="I54" s="4">
        <v>8.3466472E7</v>
      </c>
      <c r="J54" s="4">
        <v>9.4934558E7</v>
      </c>
      <c r="K54" s="4">
        <v>8.5588501E7</v>
      </c>
    </row>
    <row r="55">
      <c r="C55" s="1" t="s">
        <v>9</v>
      </c>
      <c r="D55" s="8"/>
      <c r="E55" s="8"/>
      <c r="F55" s="8"/>
      <c r="G55" s="4">
        <v>1.1990863E7</v>
      </c>
      <c r="H55" s="4">
        <v>1.6683869E7</v>
      </c>
      <c r="I55" s="4">
        <v>2.3857495E7</v>
      </c>
      <c r="J55" s="4">
        <v>2.7884976E7</v>
      </c>
      <c r="K55" s="4">
        <v>2.5982287E7</v>
      </c>
    </row>
    <row r="56">
      <c r="C56" s="1" t="s">
        <v>10</v>
      </c>
      <c r="D56" s="8"/>
      <c r="E56" s="8"/>
      <c r="F56" s="8"/>
      <c r="G56" s="4">
        <v>8236202.0</v>
      </c>
      <c r="H56" s="4">
        <v>1.1173696E7</v>
      </c>
      <c r="I56" s="4">
        <v>1.4478342E7</v>
      </c>
      <c r="J56" s="4">
        <v>1.643616E7</v>
      </c>
      <c r="K56" s="4">
        <v>1.4734464E7</v>
      </c>
    </row>
    <row r="57">
      <c r="C57" s="1" t="s">
        <v>11</v>
      </c>
      <c r="D57" s="8"/>
      <c r="E57" s="8"/>
      <c r="F57" s="8"/>
      <c r="G57" s="4">
        <v>177700.0</v>
      </c>
      <c r="H57" s="4">
        <v>217201.0</v>
      </c>
      <c r="I57" s="4">
        <v>249264.0</v>
      </c>
      <c r="J57" s="4">
        <v>271364.0</v>
      </c>
      <c r="K57" s="4">
        <v>260374.0</v>
      </c>
    </row>
    <row r="58">
      <c r="C58" s="1" t="s">
        <v>12</v>
      </c>
      <c r="D58" s="8"/>
      <c r="E58" s="8"/>
      <c r="F58" s="8"/>
      <c r="G58" s="4">
        <v>7553795.0</v>
      </c>
      <c r="H58" s="4">
        <v>1.0105031E7</v>
      </c>
      <c r="I58" s="4">
        <v>1.341924E7</v>
      </c>
      <c r="J58" s="4">
        <v>1.5278293E7</v>
      </c>
      <c r="K58" s="4">
        <v>1.3831117E7</v>
      </c>
    </row>
    <row r="59">
      <c r="C59" s="1" t="s">
        <v>13</v>
      </c>
      <c r="D59" s="8"/>
      <c r="E59" s="8"/>
      <c r="F59" s="8"/>
      <c r="G59" s="4">
        <v>6014096.0</v>
      </c>
      <c r="H59" s="4">
        <v>8368588.0</v>
      </c>
      <c r="I59" s="4">
        <v>1.1964906E7</v>
      </c>
      <c r="J59" s="4">
        <v>1.398514E7</v>
      </c>
      <c r="K59" s="4">
        <v>1.30333E7</v>
      </c>
    </row>
    <row r="60">
      <c r="C60" s="1" t="s">
        <v>14</v>
      </c>
      <c r="D60" s="8"/>
      <c r="E60" s="8"/>
      <c r="F60" s="8"/>
      <c r="G60" s="4">
        <v>2.8217434E7</v>
      </c>
      <c r="H60" s="4">
        <v>3.7538618E7</v>
      </c>
      <c r="I60" s="4">
        <v>4.7703984E7</v>
      </c>
      <c r="J60" s="4">
        <v>5.3715146E7</v>
      </c>
      <c r="K60" s="4">
        <v>4.8411937E7</v>
      </c>
    </row>
    <row r="61">
      <c r="C61" s="1" t="s">
        <v>15</v>
      </c>
      <c r="D61" s="8"/>
      <c r="E61" s="8"/>
      <c r="F61" s="8"/>
      <c r="G61" s="4">
        <v>1.9049558E7</v>
      </c>
      <c r="H61" s="4">
        <v>2.7051605E7</v>
      </c>
      <c r="I61" s="4">
        <v>3.5762488E7</v>
      </c>
      <c r="J61" s="4">
        <v>4.1219412E7</v>
      </c>
      <c r="K61" s="4">
        <v>3.7176564E7</v>
      </c>
    </row>
    <row r="62">
      <c r="C62" s="1" t="s">
        <v>16</v>
      </c>
      <c r="D62" s="9"/>
      <c r="E62" s="9"/>
      <c r="F62" s="9"/>
      <c r="G62" s="10">
        <f t="shared" ref="G62:K62" si="15">G59/G56</f>
        <v>0.7302025861</v>
      </c>
      <c r="H62" s="10">
        <f t="shared" si="15"/>
        <v>0.7489543299</v>
      </c>
      <c r="I62" s="10">
        <f t="shared" si="15"/>
        <v>0.8264002881</v>
      </c>
      <c r="J62" s="10">
        <f t="shared" si="15"/>
        <v>0.8508763604</v>
      </c>
      <c r="K62" s="10">
        <f t="shared" si="15"/>
        <v>0.8845452403</v>
      </c>
    </row>
    <row r="64">
      <c r="C64" s="1" t="s">
        <v>22</v>
      </c>
    </row>
    <row r="65">
      <c r="C65" s="1" t="s">
        <v>3</v>
      </c>
      <c r="D65" s="1">
        <v>10.0</v>
      </c>
      <c r="E65" s="1">
        <v>25.0</v>
      </c>
      <c r="F65" s="1">
        <v>50.0</v>
      </c>
      <c r="G65" s="1">
        <v>100.0</v>
      </c>
      <c r="H65" s="1">
        <v>200.0</v>
      </c>
    </row>
    <row r="66">
      <c r="C66" s="1" t="s">
        <v>4</v>
      </c>
      <c r="D66" s="4">
        <v>0.821377725680568</v>
      </c>
      <c r="E66" s="4">
        <v>0.676130412726747</v>
      </c>
      <c r="F66" s="4">
        <v>0.600415618855365</v>
      </c>
    </row>
    <row r="67">
      <c r="C67" s="1" t="s">
        <v>5</v>
      </c>
      <c r="D67" s="10">
        <f t="shared" ref="D67:D68" si="16">A10*M67</f>
        <v>50820.22368</v>
      </c>
      <c r="E67" s="10">
        <f t="shared" ref="E67:E68" si="17">A10*N67</f>
        <v>71466.42219</v>
      </c>
      <c r="F67" s="10">
        <f t="shared" ref="F67:F68" si="18">A10*O67</f>
        <v>102838.4651</v>
      </c>
      <c r="M67" s="1">
        <v>5.08202236789769E10</v>
      </c>
      <c r="N67" s="1">
        <v>7.14664221881566E10</v>
      </c>
      <c r="O67" s="1">
        <v>1.02838465098867E11</v>
      </c>
    </row>
    <row r="68">
      <c r="C68" s="1" t="s">
        <v>6</v>
      </c>
      <c r="D68" s="10">
        <f t="shared" si="16"/>
        <v>50811.30328</v>
      </c>
      <c r="E68" s="10">
        <f t="shared" si="17"/>
        <v>41826.13064</v>
      </c>
      <c r="F68" s="10">
        <f t="shared" si="18"/>
        <v>37142.32959</v>
      </c>
      <c r="M68" s="1">
        <v>5.08113032822612E13</v>
      </c>
      <c r="N68" s="1">
        <v>4.18261306433639E13</v>
      </c>
      <c r="O68" s="1">
        <v>3.71423295881566E13</v>
      </c>
    </row>
    <row r="69">
      <c r="C69" s="1" t="s">
        <v>8</v>
      </c>
      <c r="D69" s="4">
        <v>5.4753534E7</v>
      </c>
      <c r="E69" s="4">
        <v>7.6937998E7</v>
      </c>
      <c r="F69" s="4">
        <v>1.12025043E8</v>
      </c>
    </row>
    <row r="70">
      <c r="C70" s="1" t="s">
        <v>9</v>
      </c>
      <c r="D70" s="4">
        <v>8499764.0</v>
      </c>
      <c r="E70" s="4">
        <v>1.2705844E7</v>
      </c>
      <c r="F70" s="4">
        <v>2.0240657E7</v>
      </c>
    </row>
    <row r="71">
      <c r="C71" s="1" t="s">
        <v>10</v>
      </c>
      <c r="D71" s="4">
        <v>9541471.0</v>
      </c>
      <c r="E71" s="4">
        <v>1.3397353E7</v>
      </c>
      <c r="F71" s="4">
        <v>1.9490067E7</v>
      </c>
    </row>
    <row r="72">
      <c r="C72" s="1" t="s">
        <v>11</v>
      </c>
      <c r="D72" s="4">
        <v>155307.0</v>
      </c>
      <c r="E72" s="4">
        <v>232057.0</v>
      </c>
      <c r="F72" s="4">
        <v>349472.0</v>
      </c>
    </row>
    <row r="73">
      <c r="C73" s="1" t="s">
        <v>12</v>
      </c>
      <c r="D73" s="4">
        <v>8460843.0</v>
      </c>
      <c r="E73" s="4">
        <v>1.1667105E7</v>
      </c>
      <c r="F73" s="4">
        <v>1.6904279E7</v>
      </c>
    </row>
    <row r="74">
      <c r="C74" s="1" t="s">
        <v>13</v>
      </c>
      <c r="D74" s="4">
        <v>4249272.0</v>
      </c>
      <c r="E74" s="4">
        <v>6358337.0</v>
      </c>
      <c r="F74" s="4">
        <v>1.0136833E7</v>
      </c>
    </row>
    <row r="75">
      <c r="C75" s="1" t="s">
        <v>14</v>
      </c>
      <c r="D75" s="4">
        <v>3.7485054E7</v>
      </c>
      <c r="E75" s="4">
        <v>5.0518788E7</v>
      </c>
      <c r="F75" s="4">
        <v>7.1136523E7</v>
      </c>
    </row>
    <row r="76">
      <c r="C76" s="1" t="s">
        <v>15</v>
      </c>
      <c r="D76" s="4">
        <v>1.726848E7</v>
      </c>
      <c r="E76" s="4">
        <v>2.641921E7</v>
      </c>
      <c r="F76" s="4">
        <v>4.088852E7</v>
      </c>
    </row>
    <row r="77">
      <c r="C77" s="1" t="s">
        <v>16</v>
      </c>
      <c r="D77" s="10">
        <f t="shared" ref="D77:F77" si="19">D74/D71</f>
        <v>0.4453476828</v>
      </c>
      <c r="E77" s="10">
        <f t="shared" si="19"/>
        <v>0.4745965117</v>
      </c>
      <c r="F77" s="10">
        <f t="shared" si="19"/>
        <v>0.520102522</v>
      </c>
    </row>
  </sheetData>
  <drawing r:id="rId1"/>
</worksheet>
</file>